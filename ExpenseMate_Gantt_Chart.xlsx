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<sst xmlns="http://schemas.openxmlformats.org/spreadsheetml/2006/main" count="129" uniqueCount="85">
  <si>
    <t xml:space="preserve">ExpenseMate – Project Gantt Chart</t>
  </si>
  <si>
    <t xml:space="preserve">Software Construction &amp; Development  |  Team: Hamza Salahuddin (Member A), Rafay Ansari (Member B)</t>
  </si>
  <si>
    <t xml:space="preserve">HOW TO USE: blue text on yellow = inputs (chart start date, task Start/End dates, Status). Days, phase rows and the bars are calculated automatically.</t>
  </si>
  <si>
    <t xml:space="preserve">Chart start date:</t>
  </si>
  <si>
    <t xml:space="preserve">Final submission deadline:</t>
  </si>
  <si>
    <t xml:space="preserve">Ph</t>
  </si>
  <si>
    <t xml:space="preserve">ID</t>
  </si>
  <si>
    <t xml:space="preserve">Task</t>
  </si>
  <si>
    <t xml:space="preserve">Owner</t>
  </si>
  <si>
    <t xml:space="preserve">Start</t>
  </si>
  <si>
    <t xml:space="preserve">End</t>
  </si>
  <si>
    <t xml:space="preserve">Days</t>
  </si>
  <si>
    <t xml:space="preserve">Status</t>
  </si>
  <si>
    <t xml:space="preserve">1</t>
  </si>
  <si>
    <t xml:space="preserve">Phase 1 – Problem Definition &amp; Requirements</t>
  </si>
  <si>
    <t xml:space="preserve">Both</t>
  </si>
  <si>
    <t xml:space="preserve">1.1</t>
  </si>
  <si>
    <t xml:space="preserve">Write functional and non-functional requirements</t>
  </si>
  <si>
    <t xml:space="preserve">Member A</t>
  </si>
  <si>
    <t xml:space="preserve">Done</t>
  </si>
  <si>
    <t xml:space="preserve">1.2</t>
  </si>
  <si>
    <t xml:space="preserve">Create use case diagram</t>
  </si>
  <si>
    <t xml:space="preserve">Member B</t>
  </si>
  <si>
    <t xml:space="preserve">2</t>
  </si>
  <si>
    <t xml:space="preserve">Phase 2 – Architecture &amp; Construction Planning</t>
  </si>
  <si>
    <t xml:space="preserve">2.1</t>
  </si>
  <si>
    <t xml:space="preserve">Choose architectural style (Client-Server, local)</t>
  </si>
  <si>
    <t xml:space="preserve">2.2</t>
  </si>
  <si>
    <t xml:space="preserve">Draw Logical, Process, Physical, Deployment views</t>
  </si>
  <si>
    <t xml:space="preserve">In progress</t>
  </si>
  <si>
    <t xml:space="preserve">2.3</t>
  </si>
  <si>
    <t xml:space="preserve">Plan coding standards, tools and timeline</t>
  </si>
  <si>
    <t xml:space="preserve">2.4</t>
  </si>
  <si>
    <t xml:space="preserve">Compile Architecture document + Gantt chart</t>
  </si>
  <si>
    <t xml:space="preserve">3</t>
  </si>
  <si>
    <t xml:space="preserve">Phase 3 – Coding &amp; Unit Testing</t>
  </si>
  <si>
    <t xml:space="preserve">3.1</t>
  </si>
  <si>
    <t xml:space="preserve">Divide into modules; agree REST API contract</t>
  </si>
  <si>
    <t xml:space="preserve">Not started</t>
  </si>
  <si>
    <t xml:space="preserve">3.2</t>
  </si>
  <si>
    <t xml:space="preserve">Backend: database, repositories, services, REST API</t>
  </si>
  <si>
    <t xml:space="preserve">3.3</t>
  </si>
  <si>
    <t xml:space="preserve">Frontend: Tkinter screens, ApiClient, charts</t>
  </si>
  <si>
    <t xml:space="preserve">3.4</t>
  </si>
  <si>
    <t xml:space="preserve">Write unit tests for own modules</t>
  </si>
  <si>
    <t xml:space="preserve">Each member</t>
  </si>
  <si>
    <t xml:space="preserve">4</t>
  </si>
  <si>
    <t xml:space="preserve">Phase 4 – Integration &amp; System Testing</t>
  </si>
  <si>
    <t xml:space="preserve">4.1</t>
  </si>
  <si>
    <t xml:space="preserve">Integrate client and server modules</t>
  </si>
  <si>
    <t xml:space="preserve">4.2</t>
  </si>
  <si>
    <t xml:space="preserve">Perform integration testing</t>
  </si>
  <si>
    <t xml:space="preserve">4.3</t>
  </si>
  <si>
    <t xml:space="preserve">Perform system testing</t>
  </si>
  <si>
    <t xml:space="preserve">4.4</t>
  </si>
  <si>
    <t xml:space="preserve">Measure code complexity (cyclomatic)</t>
  </si>
  <si>
    <t xml:space="preserve">4.5</t>
  </si>
  <si>
    <t xml:space="preserve">Track fault-find and fault-fix rates</t>
  </si>
  <si>
    <t xml:space="preserve">5</t>
  </si>
  <si>
    <t xml:space="preserve">Phase 5 – Maintenance &amp; Evolution</t>
  </si>
  <si>
    <t xml:space="preserve">5.1</t>
  </si>
  <si>
    <t xml:space="preserve">Add one new feature (adaptive maintenance)</t>
  </si>
  <si>
    <t xml:space="preserve">5.2</t>
  </si>
  <si>
    <t xml:space="preserve">Fix 2 bugs (corrective maintenance)</t>
  </si>
  <si>
    <t xml:space="preserve">5.3</t>
  </si>
  <si>
    <t xml:space="preserve">Improve code quality (perfective maintenance)</t>
  </si>
  <si>
    <t xml:space="preserve">5.4</t>
  </si>
  <si>
    <t xml:space="preserve">Apply Lehman's Laws analysis</t>
  </si>
  <si>
    <t xml:space="preserve">6</t>
  </si>
  <si>
    <t xml:space="preserve">Phase 6 – Final Report &amp; Presentation</t>
  </si>
  <si>
    <t xml:space="preserve">6.1</t>
  </si>
  <si>
    <t xml:space="preserve">Write final report (3 pages)</t>
  </si>
  <si>
    <t xml:space="preserve">6.2</t>
  </si>
  <si>
    <t xml:space="preserve">Prepare and rehearse system demo</t>
  </si>
  <si>
    <t xml:space="preserve">6.3</t>
  </si>
  <si>
    <t xml:space="preserve">Assemble final submission bundle</t>
  </si>
  <si>
    <t xml:space="preserve">6.4</t>
  </si>
  <si>
    <t xml:space="preserve">Submit final bundle (Team Lead)</t>
  </si>
  <si>
    <t xml:space="preserve">Team Lead</t>
  </si>
  <si>
    <t xml:space="preserve">Notes</t>
  </si>
  <si>
    <t xml:space="preserve">• Instructor's deadline: Sunday 27 Sep 2026 (cell H4). The whole project (Phases 1-6) is planned for 23-26 Sep; 27 Sep is submission day.</t>
  </si>
  <si>
    <t xml:space="preserve">• Phase 1 (SRS + Use Case Diagram) was done on 23 Sep. Phase 2 (architecture) is today, 24 Sep.</t>
  </si>
  <si>
    <t xml:space="preserve">• Red-tinted column = deadline day; light-yellow column = today; grey columns = weekends. Change H4 and the task dates if the deadline moves.</t>
  </si>
  <si>
    <t xml:space="preserve">• Owners follow the assignment: Member A = Hamza Salahuddin (backend), Member B = Rafay Ansari (frontend). 'Both' = whole team.</t>
  </si>
  <si>
    <t xml:space="preserve">• Status drop-down: Not started / In progress / Done. Phase rows summarise their tasks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</si>
</sst>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d"/>
    <numFmt numFmtId="167" formatCode="dd\ m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1F3864"/>
        </patternFill>
      </fill>
    </dxf>
    <dxf>
      <fill>
        <patternFill>
          <bgColor rgb="FF7F7F7F"/>
        </patternFill>
      </fill>
    </dxf>
    <dxf>
      <fill>
        <patternFill>
          <bgColor rgb="FF2E75B6"/>
        </patternFill>
      </fill>
    </dxf>
    <dxf>
      <fill>
        <patternFill>
          <bgColor rgb="FF548235"/>
        </patternFill>
      </fill>
    </dxf>
    <dxf>
      <fill>
        <patternFill>
          <bgColor rgb="FFC55A11"/>
        </patternFill>
      </fill>
    </dxf>
    <dxf>
      <fill>
        <patternFill>
          <bgColor rgb="FF7030A0"/>
        </patternFill>
      </fill>
    </dxf>
    <dxf>
      <fill>
        <patternFill>
          <bgColor rgb="FF1F7A7A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F7A7A"/>
      <rgbColor rgb="FFBFBFBF"/>
      <rgbColor rgb="FF7F7F7F"/>
      <rgbColor rgb="FF9999FF"/>
      <rgbColor rgb="FF7030A0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E699"/>
      <rgbColor rgb="FF99CCFF"/>
      <rgbColor rgb="FFFF99CC"/>
      <rgbColor rgb="FFCC99FF"/>
      <rgbColor rgb="FFF4B6B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I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15" min="9" style="0" width="9.5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C4" s="5" t="n">
        <v>46288</v>
      </c>
      <c r="D4" s="4" t="s">
        <v>4</v>
      </c>
      <c r="H4" s="6" t="n">
        <v>46292</v>
      </c>
    </row>
    <row r="5" customFormat="false" ht="15" hidden="false" customHeight="false" outlineLevel="0" collapsed="false">
      <c r="I5" s="7" t="str">
        <f aca="false">TEXT(I7,"mmm yyyy")</f>
        <v>Sep 2026</v>
      </c>
      <c r="J5" s="7" t="str">
        <f aca="false">IF(DAY(J7)=1,TEXT(J7,"mmm yyyy"),"")</f>
        <v/>
      </c>
      <c r="K5" s="7" t="str">
        <f aca="false">IF(DAY(K7)=1,TEXT(K7,"mmm yyyy"),"")</f>
        <v/>
      </c>
      <c r="L5" s="7" t="str">
        <f aca="false">IF(DAY(L7)=1,TEXT(L7,"mmm yyyy"),"")</f>
        <v/>
      </c>
      <c r="M5" s="7" t="str">
        <f aca="false">IF(DAY(M7)=1,TEXT(M7,"mmm yyyy"),"")</f>
        <v/>
      </c>
      <c r="N5" s="7" t="str">
        <f aca="false">IF(DAY(N7)=1,TEXT(N7,"mmm yyyy"),"")</f>
        <v/>
      </c>
      <c r="O5" s="7" t="str">
        <f aca="false">IF(DAY(O7)=1,TEXT(O7,"mmm yyyy"),"")</f>
        <v/>
      </c>
    </row>
    <row r="6" customFormat="false" ht="15" hidden="false" customHeight="false" outlineLevel="0" collapsed="false">
      <c r="I6" s="8" t="str">
        <f aca="false">TEXT(I7,"ddd")</f>
        <v>Wed</v>
      </c>
      <c r="J6" s="8" t="str">
        <f aca="false">TEXT(J7,"ddd")</f>
        <v>Thu</v>
      </c>
      <c r="K6" s="8" t="str">
        <f aca="false">TEXT(K7,"ddd")</f>
        <v>Fri</v>
      </c>
      <c r="L6" s="8" t="str">
        <f aca="false">TEXT(L7,"ddd")</f>
        <v>Sat</v>
      </c>
      <c r="M6" s="8" t="str">
        <f aca="false">TEXT(M7,"ddd")</f>
        <v>Sun</v>
      </c>
      <c r="N6" s="8" t="str">
        <f aca="false">TEXT(N7,"ddd")</f>
        <v>Mon</v>
      </c>
      <c r="O6" s="8" t="str">
        <f aca="false">TEXT(O7,"ddd")</f>
        <v>Tue</v>
      </c>
    </row>
    <row r="7" customFormat="false" ht="19.5" hidden="false" customHeight="true" outlineLevel="0" collapsed="false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10" t="n">
        <f aca="false">$C$4</f>
        <v>46288</v>
      </c>
      <c r="J7" s="10" t="n">
        <f aca="false">I7+1</f>
        <v>46289</v>
      </c>
      <c r="K7" s="10" t="n">
        <f aca="false">J7+1</f>
        <v>46290</v>
      </c>
      <c r="L7" s="10" t="n">
        <f aca="false">K7+1</f>
        <v>46291</v>
      </c>
      <c r="M7" s="10" t="n">
        <f aca="false">L7+1</f>
        <v>46292</v>
      </c>
      <c r="N7" s="10" t="n">
        <f aca="false">M7+1</f>
        <v>46293</v>
      </c>
      <c r="O7" s="10" t="n">
        <f aca="false">N7+1</f>
        <v>46294</v>
      </c>
    </row>
    <row r="8" customFormat="false" ht="16.5" hidden="false" customHeight="true" outlineLevel="0" collapsed="false">
      <c r="A8" s="11" t="n">
        <v>1</v>
      </c>
      <c r="B8" s="11" t="s">
        <v>13</v>
      </c>
      <c r="C8" s="12" t="s">
        <v>14</v>
      </c>
      <c r="D8" s="11" t="s">
        <v>15</v>
      </c>
      <c r="E8" s="13" t="n">
        <f aca="false">MIN(E9:E10)</f>
        <v>46288</v>
      </c>
      <c r="F8" s="13" t="n">
        <f aca="false">MAX(F9:F10)</f>
        <v>46288</v>
      </c>
      <c r="G8" s="11" t="n">
        <f aca="false">F8-E8+1</f>
        <v>1</v>
      </c>
      <c r="H8" s="11" t="str">
        <f aca="false">IF(COUNTIF(H9:H10,"Done")=ROWS(H9:H10),"Done",IF(COUNTIF(H9:H10,"Done")+COUNTIF(H9:H10,"In progress")&gt;0,"In progress","Not started"))</f>
        <v>Done</v>
      </c>
      <c r="I8" s="14"/>
      <c r="J8" s="14"/>
      <c r="K8" s="14"/>
      <c r="L8" s="14"/>
      <c r="M8" s="14"/>
      <c r="N8" s="14"/>
      <c r="O8" s="14"/>
    </row>
    <row r="9" customFormat="false" ht="16.5" hidden="false" customHeight="true" outlineLevel="0" collapsed="false">
      <c r="A9" s="15" t="n">
        <v>1</v>
      </c>
      <c r="B9" s="15" t="s">
        <v>16</v>
      </c>
      <c r="C9" s="16" t="s">
        <v>17</v>
      </c>
      <c r="D9" s="15" t="s">
        <v>18</v>
      </c>
      <c r="E9" s="17" t="n">
        <v>46288</v>
      </c>
      <c r="F9" s="17" t="n">
        <v>46288</v>
      </c>
      <c r="G9" s="15" t="n">
        <f aca="false">F9-E9+1</f>
        <v>1</v>
      </c>
      <c r="H9" s="18" t="s">
        <v>19</v>
      </c>
      <c r="I9" s="14"/>
      <c r="J9" s="14"/>
      <c r="K9" s="14"/>
      <c r="L9" s="14"/>
      <c r="M9" s="14"/>
      <c r="N9" s="14"/>
      <c r="O9" s="14"/>
    </row>
    <row r="10" customFormat="false" ht="16.5" hidden="false" customHeight="true" outlineLevel="0" collapsed="false">
      <c r="A10" s="15" t="n">
        <v>1</v>
      </c>
      <c r="B10" s="15" t="s">
        <v>20</v>
      </c>
      <c r="C10" s="16" t="s">
        <v>21</v>
      </c>
      <c r="D10" s="15" t="s">
        <v>22</v>
      </c>
      <c r="E10" s="17" t="n">
        <v>46288</v>
      </c>
      <c r="F10" s="17" t="n">
        <v>46288</v>
      </c>
      <c r="G10" s="15" t="n">
        <f aca="false">F10-E10+1</f>
        <v>1</v>
      </c>
      <c r="H10" s="18" t="s">
        <v>19</v>
      </c>
      <c r="I10" s="14"/>
      <c r="J10" s="14"/>
      <c r="K10" s="14"/>
      <c r="L10" s="14"/>
      <c r="M10" s="14"/>
      <c r="N10" s="14"/>
      <c r="O10" s="14"/>
    </row>
    <row r="11" customFormat="false" ht="16.5" hidden="false" customHeight="true" outlineLevel="0" collapsed="false">
      <c r="A11" s="11" t="n">
        <v>2</v>
      </c>
      <c r="B11" s="11" t="s">
        <v>23</v>
      </c>
      <c r="C11" s="12" t="s">
        <v>24</v>
      </c>
      <c r="D11" s="11" t="s">
        <v>15</v>
      </c>
      <c r="E11" s="13" t="n">
        <f aca="false">MIN(E12:E15)</f>
        <v>46289</v>
      </c>
      <c r="F11" s="13" t="n">
        <f aca="false">MAX(F12:F15)</f>
        <v>46289</v>
      </c>
      <c r="G11" s="11" t="n">
        <f aca="false">F11-E11+1</f>
        <v>1</v>
      </c>
      <c r="H11" s="11" t="str">
        <f aca="false">IF(COUNTIF(H12:H15,"Done")=ROWS(H12:H15),"Done",IF(COUNTIF(H12:H15,"Done")+COUNTIF(H12:H15,"In progress")&gt;0,"In progress","Not started"))</f>
        <v>In progress</v>
      </c>
      <c r="I11" s="14"/>
      <c r="J11" s="14"/>
      <c r="K11" s="14"/>
      <c r="L11" s="14"/>
      <c r="M11" s="14"/>
      <c r="N11" s="14"/>
      <c r="O11" s="14"/>
    </row>
    <row r="12" customFormat="false" ht="16.5" hidden="false" customHeight="true" outlineLevel="0" collapsed="false">
      <c r="A12" s="15" t="n">
        <v>2</v>
      </c>
      <c r="B12" s="15" t="s">
        <v>25</v>
      </c>
      <c r="C12" s="16" t="s">
        <v>26</v>
      </c>
      <c r="D12" s="15" t="s">
        <v>15</v>
      </c>
      <c r="E12" s="17" t="n">
        <v>46289</v>
      </c>
      <c r="F12" s="17" t="n">
        <v>46289</v>
      </c>
      <c r="G12" s="15" t="n">
        <f aca="false">F12-E12+1</f>
        <v>1</v>
      </c>
      <c r="H12" s="18" t="s">
        <v>19</v>
      </c>
      <c r="I12" s="14"/>
      <c r="J12" s="14"/>
      <c r="K12" s="14"/>
      <c r="L12" s="14"/>
      <c r="M12" s="14"/>
      <c r="N12" s="14"/>
      <c r="O12" s="14"/>
    </row>
    <row r="13" customFormat="false" ht="16.5" hidden="false" customHeight="true" outlineLevel="0" collapsed="false">
      <c r="A13" s="15" t="n">
        <v>2</v>
      </c>
      <c r="B13" s="15" t="s">
        <v>27</v>
      </c>
      <c r="C13" s="16" t="s">
        <v>28</v>
      </c>
      <c r="D13" s="15" t="s">
        <v>18</v>
      </c>
      <c r="E13" s="17" t="n">
        <v>46289</v>
      </c>
      <c r="F13" s="17" t="n">
        <v>46289</v>
      </c>
      <c r="G13" s="15" t="n">
        <f aca="false">F13-E13+1</f>
        <v>1</v>
      </c>
      <c r="H13" s="18" t="s">
        <v>29</v>
      </c>
      <c r="I13" s="14"/>
      <c r="J13" s="14"/>
      <c r="K13" s="14"/>
      <c r="L13" s="14"/>
      <c r="M13" s="14"/>
      <c r="N13" s="14"/>
      <c r="O13" s="14"/>
    </row>
    <row r="14" customFormat="false" ht="16.5" hidden="false" customHeight="true" outlineLevel="0" collapsed="false">
      <c r="A14" s="15" t="n">
        <v>2</v>
      </c>
      <c r="B14" s="15" t="s">
        <v>30</v>
      </c>
      <c r="C14" s="16" t="s">
        <v>31</v>
      </c>
      <c r="D14" s="15" t="s">
        <v>22</v>
      </c>
      <c r="E14" s="17" t="n">
        <v>46289</v>
      </c>
      <c r="F14" s="17" t="n">
        <v>46289</v>
      </c>
      <c r="G14" s="15" t="n">
        <f aca="false">F14-E14+1</f>
        <v>1</v>
      </c>
      <c r="H14" s="18" t="s">
        <v>29</v>
      </c>
      <c r="I14" s="14"/>
      <c r="J14" s="14"/>
      <c r="K14" s="14"/>
      <c r="L14" s="14"/>
      <c r="M14" s="14"/>
      <c r="N14" s="14"/>
      <c r="O14" s="14"/>
    </row>
    <row r="15" customFormat="false" ht="16.5" hidden="false" customHeight="true" outlineLevel="0" collapsed="false">
      <c r="A15" s="15" t="n">
        <v>2</v>
      </c>
      <c r="B15" s="15" t="s">
        <v>32</v>
      </c>
      <c r="C15" s="16" t="s">
        <v>33</v>
      </c>
      <c r="D15" s="15" t="s">
        <v>15</v>
      </c>
      <c r="E15" s="17" t="n">
        <v>46289</v>
      </c>
      <c r="F15" s="17" t="n">
        <v>46289</v>
      </c>
      <c r="G15" s="15" t="n">
        <f aca="false">F15-E15+1</f>
        <v>1</v>
      </c>
      <c r="H15" s="18" t="s">
        <v>29</v>
      </c>
      <c r="I15" s="14"/>
      <c r="J15" s="14"/>
      <c r="K15" s="14"/>
      <c r="L15" s="14"/>
      <c r="M15" s="14"/>
      <c r="N15" s="14"/>
      <c r="O15" s="14"/>
    </row>
    <row r="16" customFormat="false" ht="16.5" hidden="false" customHeight="true" outlineLevel="0" collapsed="false">
      <c r="A16" s="11" t="n">
        <v>3</v>
      </c>
      <c r="B16" s="11" t="s">
        <v>34</v>
      </c>
      <c r="C16" s="12" t="s">
        <v>35</v>
      </c>
      <c r="D16" s="11" t="s">
        <v>15</v>
      </c>
      <c r="E16" s="13" t="n">
        <f aca="false">MIN(E17:E20)</f>
        <v>46289</v>
      </c>
      <c r="F16" s="13" t="n">
        <f aca="false">MAX(F17:F20)</f>
        <v>46290</v>
      </c>
      <c r="G16" s="11" t="n">
        <f aca="false">F16-E16+1</f>
        <v>2</v>
      </c>
      <c r="H16" s="11" t="str">
        <f aca="false">IF(COUNTIF(H17:H20,"Done")=ROWS(H17:H20),"Done",IF(COUNTIF(H17:H20,"Done")+COUNTIF(H17:H20,"In progress")&gt;0,"In progress","Not started"))</f>
        <v>Not started</v>
      </c>
      <c r="I16" s="14"/>
      <c r="J16" s="14"/>
      <c r="K16" s="14"/>
      <c r="L16" s="14"/>
      <c r="M16" s="14"/>
      <c r="N16" s="14"/>
      <c r="O16" s="14"/>
    </row>
    <row r="17" customFormat="false" ht="16.5" hidden="false" customHeight="true" outlineLevel="0" collapsed="false">
      <c r="A17" s="15" t="n">
        <v>3</v>
      </c>
      <c r="B17" s="15" t="s">
        <v>36</v>
      </c>
      <c r="C17" s="16" t="s">
        <v>37</v>
      </c>
      <c r="D17" s="15" t="s">
        <v>15</v>
      </c>
      <c r="E17" s="17" t="n">
        <v>46289</v>
      </c>
      <c r="F17" s="17" t="n">
        <v>46289</v>
      </c>
      <c r="G17" s="15" t="n">
        <f aca="false">F17-E17+1</f>
        <v>1</v>
      </c>
      <c r="H17" s="18" t="s">
        <v>38</v>
      </c>
      <c r="I17" s="14"/>
      <c r="J17" s="14"/>
      <c r="K17" s="14"/>
      <c r="L17" s="14"/>
      <c r="M17" s="14"/>
      <c r="N17" s="14"/>
      <c r="O17" s="14"/>
    </row>
    <row r="18" customFormat="false" ht="16.5" hidden="false" customHeight="true" outlineLevel="0" collapsed="false">
      <c r="A18" s="15" t="n">
        <v>3</v>
      </c>
      <c r="B18" s="15" t="s">
        <v>39</v>
      </c>
      <c r="C18" s="16" t="s">
        <v>40</v>
      </c>
      <c r="D18" s="15" t="s">
        <v>18</v>
      </c>
      <c r="E18" s="17" t="n">
        <v>46289</v>
      </c>
      <c r="F18" s="17" t="n">
        <v>46290</v>
      </c>
      <c r="G18" s="15" t="n">
        <f aca="false">F18-E18+1</f>
        <v>2</v>
      </c>
      <c r="H18" s="18" t="s">
        <v>38</v>
      </c>
      <c r="I18" s="14"/>
      <c r="J18" s="14"/>
      <c r="K18" s="14"/>
      <c r="L18" s="14"/>
      <c r="M18" s="14"/>
      <c r="N18" s="14"/>
      <c r="O18" s="14"/>
    </row>
    <row r="19" customFormat="false" ht="16.5" hidden="false" customHeight="true" outlineLevel="0" collapsed="false">
      <c r="A19" s="15" t="n">
        <v>3</v>
      </c>
      <c r="B19" s="15" t="s">
        <v>41</v>
      </c>
      <c r="C19" s="16" t="s">
        <v>42</v>
      </c>
      <c r="D19" s="15" t="s">
        <v>22</v>
      </c>
      <c r="E19" s="17" t="n">
        <v>46289</v>
      </c>
      <c r="F19" s="17" t="n">
        <v>46290</v>
      </c>
      <c r="G19" s="15" t="n">
        <f aca="false">F19-E19+1</f>
        <v>2</v>
      </c>
      <c r="H19" s="18" t="s">
        <v>38</v>
      </c>
      <c r="I19" s="14"/>
      <c r="J19" s="14"/>
      <c r="K19" s="14"/>
      <c r="L19" s="14"/>
      <c r="M19" s="14"/>
      <c r="N19" s="14"/>
      <c r="O19" s="14"/>
    </row>
    <row r="20" customFormat="false" ht="16.5" hidden="false" customHeight="true" outlineLevel="0" collapsed="false">
      <c r="A20" s="15" t="n">
        <v>3</v>
      </c>
      <c r="B20" s="15" t="s">
        <v>43</v>
      </c>
      <c r="C20" s="16" t="s">
        <v>44</v>
      </c>
      <c r="D20" s="15" t="s">
        <v>45</v>
      </c>
      <c r="E20" s="17" t="n">
        <v>46290</v>
      </c>
      <c r="F20" s="17" t="n">
        <v>46290</v>
      </c>
      <c r="G20" s="15" t="n">
        <f aca="false">F20-E20+1</f>
        <v>1</v>
      </c>
      <c r="H20" s="18" t="s">
        <v>38</v>
      </c>
      <c r="I20" s="14"/>
      <c r="J20" s="14"/>
      <c r="K20" s="14"/>
      <c r="L20" s="14"/>
      <c r="M20" s="14"/>
      <c r="N20" s="14"/>
      <c r="O20" s="14"/>
    </row>
    <row r="21" customFormat="false" ht="16.5" hidden="false" customHeight="true" outlineLevel="0" collapsed="false">
      <c r="A21" s="11" t="n">
        <v>4</v>
      </c>
      <c r="B21" s="11" t="s">
        <v>46</v>
      </c>
      <c r="C21" s="12" t="s">
        <v>47</v>
      </c>
      <c r="D21" s="11" t="s">
        <v>15</v>
      </c>
      <c r="E21" s="13" t="n">
        <f aca="false">MIN(E22:E26)</f>
        <v>46290</v>
      </c>
      <c r="F21" s="13" t="n">
        <f aca="false">MAX(F22:F26)</f>
        <v>46291</v>
      </c>
      <c r="G21" s="11" t="n">
        <f aca="false">F21-E21+1</f>
        <v>2</v>
      </c>
      <c r="H21" s="11" t="str">
        <f aca="false">IF(COUNTIF(H22:H26,"Done")=ROWS(H22:H26),"Done",IF(COUNTIF(H22:H26,"Done")+COUNTIF(H22:H26,"In progress")&gt;0,"In progress","Not started"))</f>
        <v>Not started</v>
      </c>
      <c r="I21" s="14"/>
      <c r="J21" s="14"/>
      <c r="K21" s="14"/>
      <c r="L21" s="14"/>
      <c r="M21" s="14"/>
      <c r="N21" s="14"/>
      <c r="O21" s="14"/>
    </row>
    <row r="22" customFormat="false" ht="16.5" hidden="false" customHeight="true" outlineLevel="0" collapsed="false">
      <c r="A22" s="15" t="n">
        <v>4</v>
      </c>
      <c r="B22" s="15" t="s">
        <v>48</v>
      </c>
      <c r="C22" s="16" t="s">
        <v>49</v>
      </c>
      <c r="D22" s="15" t="s">
        <v>15</v>
      </c>
      <c r="E22" s="17" t="n">
        <v>46290</v>
      </c>
      <c r="F22" s="17" t="n">
        <v>46290</v>
      </c>
      <c r="G22" s="15" t="n">
        <f aca="false">F22-E22+1</f>
        <v>1</v>
      </c>
      <c r="H22" s="18" t="s">
        <v>38</v>
      </c>
      <c r="I22" s="14"/>
      <c r="J22" s="14"/>
      <c r="K22" s="14"/>
      <c r="L22" s="14"/>
      <c r="M22" s="14"/>
      <c r="N22" s="14"/>
      <c r="O22" s="14"/>
    </row>
    <row r="23" customFormat="false" ht="16.5" hidden="false" customHeight="true" outlineLevel="0" collapsed="false">
      <c r="A23" s="15" t="n">
        <v>4</v>
      </c>
      <c r="B23" s="15" t="s">
        <v>50</v>
      </c>
      <c r="C23" s="16" t="s">
        <v>51</v>
      </c>
      <c r="D23" s="15" t="s">
        <v>18</v>
      </c>
      <c r="E23" s="17" t="n">
        <v>46290</v>
      </c>
      <c r="F23" s="17" t="n">
        <v>46291</v>
      </c>
      <c r="G23" s="15" t="n">
        <f aca="false">F23-E23+1</f>
        <v>2</v>
      </c>
      <c r="H23" s="18" t="s">
        <v>38</v>
      </c>
      <c r="I23" s="14"/>
      <c r="J23" s="14"/>
      <c r="K23" s="14"/>
      <c r="L23" s="14"/>
      <c r="M23" s="14"/>
      <c r="N23" s="14"/>
      <c r="O23" s="14"/>
    </row>
    <row r="24" customFormat="false" ht="16.5" hidden="false" customHeight="true" outlineLevel="0" collapsed="false">
      <c r="A24" s="15" t="n">
        <v>4</v>
      </c>
      <c r="B24" s="15" t="s">
        <v>52</v>
      </c>
      <c r="C24" s="16" t="s">
        <v>53</v>
      </c>
      <c r="D24" s="15" t="s">
        <v>22</v>
      </c>
      <c r="E24" s="17" t="n">
        <v>46291</v>
      </c>
      <c r="F24" s="17" t="n">
        <v>46291</v>
      </c>
      <c r="G24" s="15" t="n">
        <f aca="false">F24-E24+1</f>
        <v>1</v>
      </c>
      <c r="H24" s="18" t="s">
        <v>38</v>
      </c>
      <c r="I24" s="14"/>
      <c r="J24" s="14"/>
      <c r="K24" s="14"/>
      <c r="L24" s="14"/>
      <c r="M24" s="14"/>
      <c r="N24" s="14"/>
      <c r="O24" s="14"/>
    </row>
    <row r="25" customFormat="false" ht="16.5" hidden="false" customHeight="true" outlineLevel="0" collapsed="false">
      <c r="A25" s="15" t="n">
        <v>4</v>
      </c>
      <c r="B25" s="15" t="s">
        <v>54</v>
      </c>
      <c r="C25" s="16" t="s">
        <v>55</v>
      </c>
      <c r="D25" s="15" t="s">
        <v>18</v>
      </c>
      <c r="E25" s="17" t="n">
        <v>46291</v>
      </c>
      <c r="F25" s="17" t="n">
        <v>46291</v>
      </c>
      <c r="G25" s="15" t="n">
        <f aca="false">F25-E25+1</f>
        <v>1</v>
      </c>
      <c r="H25" s="18" t="s">
        <v>38</v>
      </c>
      <c r="I25" s="14"/>
      <c r="J25" s="14"/>
      <c r="K25" s="14"/>
      <c r="L25" s="14"/>
      <c r="M25" s="14"/>
      <c r="N25" s="14"/>
      <c r="O25" s="14"/>
    </row>
    <row r="26" customFormat="false" ht="16.5" hidden="false" customHeight="true" outlineLevel="0" collapsed="false">
      <c r="A26" s="15" t="n">
        <v>4</v>
      </c>
      <c r="B26" s="15" t="s">
        <v>56</v>
      </c>
      <c r="C26" s="16" t="s">
        <v>57</v>
      </c>
      <c r="D26" s="15" t="s">
        <v>22</v>
      </c>
      <c r="E26" s="17" t="n">
        <v>46290</v>
      </c>
      <c r="F26" s="17" t="n">
        <v>46291</v>
      </c>
      <c r="G26" s="15" t="n">
        <f aca="false">F26-E26+1</f>
        <v>2</v>
      </c>
      <c r="H26" s="18" t="s">
        <v>38</v>
      </c>
      <c r="I26" s="14"/>
      <c r="J26" s="14"/>
      <c r="K26" s="14"/>
      <c r="L26" s="14"/>
      <c r="M26" s="14"/>
      <c r="N26" s="14"/>
      <c r="O26" s="14"/>
    </row>
    <row r="27" customFormat="false" ht="16.5" hidden="false" customHeight="true" outlineLevel="0" collapsed="false">
      <c r="A27" s="11" t="n">
        <v>5</v>
      </c>
      <c r="B27" s="11" t="s">
        <v>58</v>
      </c>
      <c r="C27" s="12" t="s">
        <v>59</v>
      </c>
      <c r="D27" s="11" t="s">
        <v>15</v>
      </c>
      <c r="E27" s="13" t="n">
        <f aca="false">MIN(E28:E31)</f>
        <v>46291</v>
      </c>
      <c r="F27" s="13" t="n">
        <f aca="false">MAX(F28:F31)</f>
        <v>46291</v>
      </c>
      <c r="G27" s="11" t="n">
        <f aca="false">F27-E27+1</f>
        <v>1</v>
      </c>
      <c r="H27" s="11" t="str">
        <f aca="false">IF(COUNTIF(H28:H31,"Done")=ROWS(H28:H31),"Done",IF(COUNTIF(H28:H31,"Done")+COUNTIF(H28:H31,"In progress")&gt;0,"In progress","Not started"))</f>
        <v>Not started</v>
      </c>
      <c r="I27" s="14"/>
      <c r="J27" s="14"/>
      <c r="K27" s="14"/>
      <c r="L27" s="14"/>
      <c r="M27" s="14"/>
      <c r="N27" s="14"/>
      <c r="O27" s="14"/>
    </row>
    <row r="28" customFormat="false" ht="16.5" hidden="false" customHeight="true" outlineLevel="0" collapsed="false">
      <c r="A28" s="15" t="n">
        <v>5</v>
      </c>
      <c r="B28" s="15" t="s">
        <v>60</v>
      </c>
      <c r="C28" s="16" t="s">
        <v>61</v>
      </c>
      <c r="D28" s="15" t="s">
        <v>15</v>
      </c>
      <c r="E28" s="17" t="n">
        <v>46291</v>
      </c>
      <c r="F28" s="17" t="n">
        <v>46291</v>
      </c>
      <c r="G28" s="15" t="n">
        <f aca="false">F28-E28+1</f>
        <v>1</v>
      </c>
      <c r="H28" s="18" t="s">
        <v>38</v>
      </c>
      <c r="I28" s="14"/>
      <c r="J28" s="14"/>
      <c r="K28" s="14"/>
      <c r="L28" s="14"/>
      <c r="M28" s="14"/>
      <c r="N28" s="14"/>
      <c r="O28" s="14"/>
    </row>
    <row r="29" customFormat="false" ht="16.5" hidden="false" customHeight="true" outlineLevel="0" collapsed="false">
      <c r="A29" s="15" t="n">
        <v>5</v>
      </c>
      <c r="B29" s="15" t="s">
        <v>62</v>
      </c>
      <c r="C29" s="16" t="s">
        <v>63</v>
      </c>
      <c r="D29" s="15" t="s">
        <v>18</v>
      </c>
      <c r="E29" s="17" t="n">
        <v>46291</v>
      </c>
      <c r="F29" s="17" t="n">
        <v>46291</v>
      </c>
      <c r="G29" s="15" t="n">
        <f aca="false">F29-E29+1</f>
        <v>1</v>
      </c>
      <c r="H29" s="18" t="s">
        <v>38</v>
      </c>
      <c r="I29" s="14"/>
      <c r="J29" s="14"/>
      <c r="K29" s="14"/>
      <c r="L29" s="14"/>
      <c r="M29" s="14"/>
      <c r="N29" s="14"/>
      <c r="O29" s="14"/>
    </row>
    <row r="30" customFormat="false" ht="16.5" hidden="false" customHeight="true" outlineLevel="0" collapsed="false">
      <c r="A30" s="15" t="n">
        <v>5</v>
      </c>
      <c r="B30" s="15" t="s">
        <v>64</v>
      </c>
      <c r="C30" s="16" t="s">
        <v>65</v>
      </c>
      <c r="D30" s="15" t="s">
        <v>22</v>
      </c>
      <c r="E30" s="17" t="n">
        <v>46291</v>
      </c>
      <c r="F30" s="17" t="n">
        <v>46291</v>
      </c>
      <c r="G30" s="15" t="n">
        <f aca="false">F30-E30+1</f>
        <v>1</v>
      </c>
      <c r="H30" s="18" t="s">
        <v>38</v>
      </c>
      <c r="I30" s="14"/>
      <c r="J30" s="14"/>
      <c r="K30" s="14"/>
      <c r="L30" s="14"/>
      <c r="M30" s="14"/>
      <c r="N30" s="14"/>
      <c r="O30" s="14"/>
    </row>
    <row r="31" customFormat="false" ht="16.5" hidden="false" customHeight="true" outlineLevel="0" collapsed="false">
      <c r="A31" s="15" t="n">
        <v>5</v>
      </c>
      <c r="B31" s="15" t="s">
        <v>66</v>
      </c>
      <c r="C31" s="16" t="s">
        <v>67</v>
      </c>
      <c r="D31" s="15" t="s">
        <v>15</v>
      </c>
      <c r="E31" s="17" t="n">
        <v>46291</v>
      </c>
      <c r="F31" s="17" t="n">
        <v>46291</v>
      </c>
      <c r="G31" s="15" t="n">
        <f aca="false">F31-E31+1</f>
        <v>1</v>
      </c>
      <c r="H31" s="18" t="s">
        <v>38</v>
      </c>
      <c r="I31" s="14"/>
      <c r="J31" s="14"/>
      <c r="K31" s="14"/>
      <c r="L31" s="14"/>
      <c r="M31" s="14"/>
      <c r="N31" s="14"/>
      <c r="O31" s="14"/>
    </row>
    <row r="32" customFormat="false" ht="16.5" hidden="false" customHeight="true" outlineLevel="0" collapsed="false">
      <c r="A32" s="11" t="n">
        <v>6</v>
      </c>
      <c r="B32" s="11" t="s">
        <v>68</v>
      </c>
      <c r="C32" s="12" t="s">
        <v>69</v>
      </c>
      <c r="D32" s="11" t="s">
        <v>15</v>
      </c>
      <c r="E32" s="13" t="n">
        <f aca="false">MIN(E33:E36)</f>
        <v>46290</v>
      </c>
      <c r="F32" s="13" t="n">
        <f aca="false">MAX(F33:F36)</f>
        <v>46292</v>
      </c>
      <c r="G32" s="11" t="n">
        <f aca="false">F32-E32+1</f>
        <v>3</v>
      </c>
      <c r="H32" s="11" t="str">
        <f aca="false">IF(COUNTIF(H33:H36,"Done")=ROWS(H33:H36),"Done",IF(COUNTIF(H33:H36,"Done")+COUNTIF(H33:H36,"In progress")&gt;0,"In progress","Not started"))</f>
        <v>Not started</v>
      </c>
      <c r="I32" s="14"/>
      <c r="J32" s="14"/>
      <c r="K32" s="14"/>
      <c r="L32" s="14"/>
      <c r="M32" s="14"/>
      <c r="N32" s="14"/>
      <c r="O32" s="14"/>
    </row>
    <row r="33" customFormat="false" ht="16.5" hidden="false" customHeight="true" outlineLevel="0" collapsed="false">
      <c r="A33" s="15" t="n">
        <v>6</v>
      </c>
      <c r="B33" s="15" t="s">
        <v>70</v>
      </c>
      <c r="C33" s="16" t="s">
        <v>71</v>
      </c>
      <c r="D33" s="15" t="s">
        <v>22</v>
      </c>
      <c r="E33" s="17" t="n">
        <v>46290</v>
      </c>
      <c r="F33" s="17" t="n">
        <v>46291</v>
      </c>
      <c r="G33" s="15" t="n">
        <f aca="false">F33-E33+1</f>
        <v>2</v>
      </c>
      <c r="H33" s="18" t="s">
        <v>38</v>
      </c>
      <c r="I33" s="14"/>
      <c r="J33" s="14"/>
      <c r="K33" s="14"/>
      <c r="L33" s="14"/>
      <c r="M33" s="14"/>
      <c r="N33" s="14"/>
      <c r="O33" s="14"/>
    </row>
    <row r="34" customFormat="false" ht="16.5" hidden="false" customHeight="true" outlineLevel="0" collapsed="false">
      <c r="A34" s="15" t="n">
        <v>6</v>
      </c>
      <c r="B34" s="15" t="s">
        <v>72</v>
      </c>
      <c r="C34" s="16" t="s">
        <v>73</v>
      </c>
      <c r="D34" s="15" t="s">
        <v>15</v>
      </c>
      <c r="E34" s="17" t="n">
        <v>46291</v>
      </c>
      <c r="F34" s="17" t="n">
        <v>46291</v>
      </c>
      <c r="G34" s="15" t="n">
        <f aca="false">F34-E34+1</f>
        <v>1</v>
      </c>
      <c r="H34" s="18" t="s">
        <v>38</v>
      </c>
      <c r="I34" s="14"/>
      <c r="J34" s="14"/>
      <c r="K34" s="14"/>
      <c r="L34" s="14"/>
      <c r="M34" s="14"/>
      <c r="N34" s="14"/>
      <c r="O34" s="14"/>
    </row>
    <row r="35" customFormat="false" ht="16.5" hidden="false" customHeight="true" outlineLevel="0" collapsed="false">
      <c r="A35" s="15" t="n">
        <v>6</v>
      </c>
      <c r="B35" s="15" t="s">
        <v>74</v>
      </c>
      <c r="C35" s="16" t="s">
        <v>75</v>
      </c>
      <c r="D35" s="15" t="s">
        <v>15</v>
      </c>
      <c r="E35" s="17" t="n">
        <v>46291</v>
      </c>
      <c r="F35" s="17" t="n">
        <v>46291</v>
      </c>
      <c r="G35" s="15" t="n">
        <f aca="false">F35-E35+1</f>
        <v>1</v>
      </c>
      <c r="H35" s="18" t="s">
        <v>38</v>
      </c>
      <c r="I35" s="14"/>
      <c r="J35" s="14"/>
      <c r="K35" s="14"/>
      <c r="L35" s="14"/>
      <c r="M35" s="14"/>
      <c r="N35" s="14"/>
      <c r="O35" s="14"/>
    </row>
    <row r="36" customFormat="false" ht="16.5" hidden="false" customHeight="true" outlineLevel="0" collapsed="false">
      <c r="A36" s="15" t="n">
        <v>6</v>
      </c>
      <c r="B36" s="15" t="s">
        <v>76</v>
      </c>
      <c r="C36" s="16" t="s">
        <v>77</v>
      </c>
      <c r="D36" s="15" t="s">
        <v>78</v>
      </c>
      <c r="E36" s="17" t="n">
        <v>46292</v>
      </c>
      <c r="F36" s="17" t="n">
        <v>46292</v>
      </c>
      <c r="G36" s="15" t="n">
        <f aca="false">F36-E36+1</f>
        <v>1</v>
      </c>
      <c r="H36" s="18" t="s">
        <v>38</v>
      </c>
      <c r="I36" s="14"/>
      <c r="J36" s="14"/>
      <c r="K36" s="14"/>
      <c r="L36" s="14"/>
      <c r="M36" s="14"/>
      <c r="N36" s="14"/>
      <c r="O36" s="14"/>
    </row>
    <row r="38" customFormat="false" ht="15" hidden="false" customHeight="false" outlineLevel="0" collapsed="false">
      <c r="A38" s="19" t="s">
        <v>79</v>
      </c>
    </row>
    <row r="39" customFormat="false" ht="15" hidden="false" customHeight="false" outlineLevel="0" collapsed="false">
      <c r="A39" s="20" t="s">
        <v>80</v>
      </c>
    </row>
    <row r="40" customFormat="false" ht="15" hidden="false" customHeight="false" outlineLevel="0" collapsed="false">
      <c r="A40" s="20" t="s">
        <v>81</v>
      </c>
    </row>
    <row r="41" customFormat="false" ht="15" hidden="false" customHeight="false" outlineLevel="0" collapsed="false">
      <c r="A41" s="20" t="s">
        <v>82</v>
      </c>
    </row>
    <row r="42" customFormat="false" ht="15" hidden="false" customHeight="false" outlineLevel="0" collapsed="false">
      <c r="A42" s="20" t="s">
        <v>83</v>
      </c>
    </row>
    <row r="43" customFormat="false" ht="15" hidden="false" customHeight="false" outlineLevel="0" collapsed="false">
      <c r="A43" s="20" t="s">
        <v>84</v>
      </c>
    </row>
  </sheetData>
  <conditionalFormatting sqref="I8:O36">
    <cfRule type="expression" priority="2" aboveAverage="0" equalAverage="0" bottom="0" percent="0" rank="0" text="" dxfId="0">
      <formula>AND(I$7&gt;=$E8,I$7&lt;=$F8,LEN($B8)=1)</formula>
    </cfRule>
    <cfRule type="expression" priority="3" aboveAverage="0" equalAverage="0" bottom="0" percent="0" rank="0" text="" dxfId="1">
      <formula>AND(I$7&gt;=$E8,I$7&lt;=$F8,$A8=1)</formula>
    </cfRule>
    <cfRule type="expression" priority="4" aboveAverage="0" equalAverage="0" bottom="0" percent="0" rank="0" text="" dxfId="2">
      <formula>AND(I$7&gt;=$E8,I$7&lt;=$F8,$A8=2)</formula>
    </cfRule>
    <cfRule type="expression" priority="5" aboveAverage="0" equalAverage="0" bottom="0" percent="0" rank="0" text="" dxfId="3">
      <formula>AND(I$7&gt;=$E8,I$7&lt;=$F8,$A8=3)</formula>
    </cfRule>
    <cfRule type="expression" priority="6" aboveAverage="0" equalAverage="0" bottom="0" percent="0" rank="0" text="" dxfId="4">
      <formula>AND(I$7&gt;=$E8,I$7&lt;=$F8,$A8=4)</formula>
    </cfRule>
    <cfRule type="expression" priority="7" aboveAverage="0" equalAverage="0" bottom="0" percent="0" rank="0" text="" dxfId="5">
      <formula>AND(I$7&gt;=$E8,I$7&lt;=$F8,$A8=5)</formula>
    </cfRule>
    <cfRule type="expression" priority="8" aboveAverage="0" equalAverage="0" bottom="0" percent="0" rank="0" text="" dxfId="6">
      <formula>AND(I$7&gt;=$E8,I$7&lt;=$F8,$A8=6)</formula>
    </cfRule>
    <cfRule type="expression" priority="9" aboveAverage="0" equalAverage="0" bottom="0" percent="0" rank="0" text="" dxfId="7">
      <formula>I$7=$H$4</formula>
    </cfRule>
    <cfRule type="expression" priority="10" aboveAverage="0" equalAverage="0" bottom="0" percent="0" rank="0" text="" dxfId="8">
      <formula>I$7=TODAY()</formula>
    </cfRule>
    <cfRule type="expression" priority="11" aboveAverage="0" equalAverage="0" bottom="0" percent="0" rank="0" text="" dxfId="9">
      <formula>WEEKDAY(I$7,2)&gt;=6</formula>
    </cfRule>
  </conditionalFormatting>
  <dataValidations count="1">
    <dataValidation allowBlank="false" errorStyle="stop" operator="between" showDropDown="false" showErrorMessage="false" showInputMessage="false" sqref="H9:H10 H12:H15 H17:H20 H22:H26 H28:H31 H33:H36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2026-09-24T10:53:43Z</dcterms:created>
  <dc:creator>openpyxl</dc:creator>
  <dc:description/>
  <dc:language>en-US</dc:language>
  <cp:lastModifiedBy/>
  <dcterms:modified xsi:type="dcterms:W3CDTF">2026-09-24T10:53:43Z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